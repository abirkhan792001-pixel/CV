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Fit Map" sheetId="3" state="visible" r:id="rId3"/>
  </sheets>
  <definedNames>
    <definedName name="_xlnm._FilterDatabase" localSheetId="1" hidden="1">'Roles'!$A$3:$O$40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D2051E"/>
      <sz val="16"/>
    </font>
    <font>
      <name val="Arial"/>
      <i val="1"/>
      <color rgb="00666666"/>
      <sz val="9"/>
    </font>
    <font>
      <name val="Arial"/>
      <b val="1"/>
      <color rgb="001A1A1A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D2051E"/>
      <sz val="11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2051E"/>
      </patternFill>
    </fill>
    <fill>
      <patternFill patternType="solid">
        <fgColor rgb="00F5F3F0"/>
      </patternFill>
    </fill>
  </fills>
  <borders count="2">
    <border>
      <left/>
      <right/>
      <top/>
      <bottom/>
      <diagonal/>
    </border>
    <border>
      <left style="thin">
        <color rgb="00C9C4BD"/>
      </left>
      <right style="thin">
        <color rgb="00C9C4BD"/>
      </right>
      <top style="thin">
        <color rgb="00C9C4BD"/>
      </top>
      <bottom style="thin">
        <color rgb="00C9C4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Tracker</author>
  </authors>
  <commentList>
    <comment ref="B12" authorId="0" shapeId="0">
      <text>
        <t>Paste any further roles from here down, one per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reers.hilti.group/en/jobs/19052-en/global-trainee-program-outperformer-finance-track-m-f-x/" TargetMode="External" Id="rId1"/><Relationship Type="http://schemas.openxmlformats.org/officeDocument/2006/relationships/hyperlink" Target="https://careers.hilti.group/en/jobs/17676-en/outperformer-global-management-development-program-finance-track/" TargetMode="External" Id="rId2"/><Relationship Type="http://schemas.openxmlformats.org/officeDocument/2006/relationships/hyperlink" Target="https://careers.hilti.group/en/jobs/19580-de/global-management-development-program-outperformer-business-track/" TargetMode="External" Id="rId3"/><Relationship Type="http://schemas.openxmlformats.org/officeDocument/2006/relationships/hyperlink" Target="https://careers.hilti.group/en/jobs/16066-en/controller-m-f-d-international-finance-career-cfo-track/" TargetMode="External" Id="rId4"/><Relationship Type="http://schemas.openxmlformats.org/officeDocument/2006/relationships/hyperlink" Target="https://careers.hilti.group/en/jobs/18688-en/global-trainee-program-outperformer-operations-track-m-f-x/" TargetMode="External" Id="rId5"/><Relationship Type="http://schemas.openxmlformats.org/officeDocument/2006/relationships/hyperlink" Target="https://careers.hilti.group/en/jobs/16399-en/global-outperformer-graduate-programme/" TargetMode="External" Id="rId6"/><Relationship Type="http://schemas.openxmlformats.org/officeDocument/2006/relationships/hyperlink" Target="https://careers.hilti.group/en/jobs/19572-de/global-management-development-program-outperformer-finance-track/" TargetMode="External" Id="rId7"/><Relationship Type="http://schemas.openxmlformats.org/officeDocument/2006/relationships/hyperlink" Target="https://careers.hilti.group/en/jobs/19359-en/cfo-austria-with-development-target-to-global-cfo-career-m-f-x/" TargetMode="External" Id="rId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1" t="inlineStr">
        <is>
          <t>Hilti Application - Roles Tracker</t>
        </is>
      </c>
    </row>
    <row r="3">
      <c r="B3" s="2" t="inlineStr">
        <is>
          <t>Abir Hilal Khan  |  updated 31.08.2026 with Abir's own role list  |  referral: Timur (Hilti, CFO track)</t>
        </is>
      </c>
    </row>
    <row r="5">
      <c r="B5" s="3" t="inlineStr">
        <is>
          <t>Context</t>
        </is>
      </c>
    </row>
    <row r="6" ht="40" customHeight="1">
      <c r="B6" s="4" t="inlineStr">
        <is>
          <t>The ask from Timur</t>
        </is>
      </c>
      <c r="C6" s="5" t="inlineStr">
        <is>
          <t>He is open to recommending Abir internally and asked for three things to forward to HR: (1) the job roles Abir wants to apply for, (2) the CV, and (3) a brief introduction message that also states availability.</t>
        </is>
      </c>
    </row>
    <row r="8">
      <c r="B8" s="3" t="inlineStr">
        <is>
          <t>Where the three deliverables stand</t>
        </is>
      </c>
    </row>
    <row r="9" ht="52" customHeight="1">
      <c r="B9" s="4" t="inlineStr">
        <is>
          <t>1. Roles (this file)</t>
        </is>
      </c>
      <c r="C9" s="5" t="inlineStr">
        <is>
          <t>Abir's six pasted roles are merged in, researched, and ranked with a suggested priority; two researched add-ons are marked 'Suggested' in the List column. Open items before sign-off: verify each live posting, and identify which country 17676-en recruits for (not resolvable from search).</t>
        </is>
      </c>
    </row>
    <row r="10" ht="40" customHeight="1">
      <c r="B10" s="4" t="inlineStr">
        <is>
          <t>2. CV</t>
        </is>
      </c>
      <c r="C10" s="5" t="inlineStr">
        <is>
          <t>Tailored to the Hilti finance routes and rebuilt: 'Abir Hilal Khan_CV_Hilti.pdf'. One page, ATS-audited. The header now reads 'No visa sponsorship required in Germany' - the unscoped claim would be false for the Schaan, Copenhagen and Vienna roles on this list.</t>
        </is>
      </c>
    </row>
    <row r="11" ht="52" customHeight="1">
      <c r="B11" s="4" t="inlineStr">
        <is>
          <t>3. Intro message</t>
        </is>
      </c>
      <c r="C11" s="5" t="inlineStr">
        <is>
          <t>Deliberately not drafted yet - written only once (1) and (2) are signed off. Facts still needed: exact availability (MSc ends 12.2026 -&gt; full-time from 01.2027?), citizenship / current work-permit type (drives the Schaan and Copenhagen rows), and which route Timur's own 'CFO track' is.</t>
        </is>
      </c>
    </row>
    <row r="13">
      <c r="B13" s="3" t="inlineStr">
        <is>
          <t>How to use this file</t>
        </is>
      </c>
    </row>
    <row r="14" ht="28" customHeight="1">
      <c r="B14" s="4" t="inlineStr">
        <is>
          <t>List column</t>
        </is>
      </c>
      <c r="C14" s="5" t="inlineStr">
        <is>
          <t>'Your list' = the six postings Abir pasted on 31.08.2026. 'Suggested' = add-ons from research worth considering; delete the rows if not wanted.</t>
        </is>
      </c>
    </row>
    <row r="15" ht="28" customHeight="1">
      <c r="B15" s="4" t="inlineStr">
        <is>
          <t>Yellow cells</t>
        </is>
      </c>
      <c r="C15" s="5" t="inlineStr">
        <is>
          <t>Yours to edit: Priority, Status, Next Step - and the empty yellow rows, where more roles can be pasted (one row per job ID).</t>
        </is>
      </c>
    </row>
    <row r="16" ht="28" customHeight="1">
      <c r="B16" s="4" t="inlineStr">
        <is>
          <t>Status column</t>
        </is>
      </c>
      <c r="C16" s="5" t="inlineStr">
        <is>
          <t>Has a dropdown: Draft - verify posting / Shortlisted / Sent to Timur / Applied / Interview / Offer / Closed - Rejected / On hold.</t>
        </is>
      </c>
    </row>
    <row r="17" ht="28" customHeight="1">
      <c r="B17" s="4" t="inlineStr">
        <is>
          <t>Fit Map sheet</t>
        </is>
      </c>
      <c r="C17" s="5" t="inlineStr">
        <is>
          <t>Maps every criterion Hilti screens on to the evidence in Abir's profile and where it sits on the CV - useful for the Timur message and for interview prep.</t>
        </is>
      </c>
    </row>
    <row r="19">
      <c r="B19" s="3" t="inlineStr">
        <is>
          <t>Two flags that cut across the list</t>
        </is>
      </c>
    </row>
    <row r="20" ht="78" customHeight="1">
      <c r="B20" s="6" t="inlineStr">
        <is>
          <t>Schaan work permits</t>
        </is>
      </c>
      <c r="C20" s="6" t="inlineStr">
        <is>
          <t>Both m/f/x trainee roles (19052-en finance, 18688-en operations) sit at Global HQ in Schaan, Liechtenstein. Hilti's Schaan trainee postings state that non-EU/EFTA citizens must declare their eligibility to work in Switzerland/Liechtenstein and that employment cannot be guaranteed if no valid permit is obtained. Denmark (16399-en) likewise needs its own permit - a German residence permit does not transfer. Confirm citizenship/permit facts before Timur forwards anything.</t>
        </is>
      </c>
    </row>
    <row r="21" ht="52" customHeight="1">
      <c r="B21" s="6" t="inlineStr">
        <is>
          <t>Verify live postings</t>
        </is>
      </c>
      <c r="C21" s="6" t="inlineStr">
        <is>
          <t>careers.hilti.group and hilti.com are blocked from this build environment, so every posting detail is compiled from search-engine results and job boards dated 31.08.2026. Job IDs, titles, locations and requirements MUST be checked against the live posting - or confirmed with Timur - before the list is sent anywhere.</t>
        </is>
      </c>
    </row>
    <row r="23">
      <c r="B23" s="3" t="inlineStr">
        <is>
          <t>Also seen, deliberately not tracked</t>
        </is>
      </c>
    </row>
    <row r="24" ht="40" customHeight="1">
      <c r="B24" s="4" t="inlineStr">
        <is>
          <t>Senior variants</t>
        </is>
      </c>
      <c r="C24" s="5" t="inlineStr">
        <is>
          <t>'Senior Controller - CFO Track' (16512-de shows both Controller and Senior Controller titles in listings) and 'Join our Talent Community - Senior Controller' (wd-0032949-en, a talent pool, not a live role) - both above the experience band.</t>
        </is>
      </c>
    </row>
    <row r="25" ht="40" customHeight="1">
      <c r="B25" s="4" t="inlineStr">
        <is>
          <t>Newer posting twins</t>
        </is>
      </c>
      <c r="C25" s="5" t="inlineStr">
        <is>
          <t>Several of Abir's IDs have newer siblings that may be the ones actually accepting applications: 48571-en (Schaan finance track), 46350-en (Schaan operations track), 57529-de (Germany business track). Check which ID is live when verifying.</t>
        </is>
      </c>
    </row>
    <row r="27">
      <c r="B27" s="3" t="inlineStr">
        <is>
          <t>Quick stats</t>
        </is>
      </c>
    </row>
    <row r="28">
      <c r="B28" s="4" t="inlineStr">
        <is>
          <t>Roles tracked</t>
        </is>
      </c>
      <c r="C28" s="5">
        <f>COUNTA(Roles!B4:B40)</f>
        <v/>
      </c>
    </row>
    <row r="29">
      <c r="B29" s="4" t="inlineStr">
        <is>
          <t>Sent to Timur</t>
        </is>
      </c>
      <c r="C29" s="5">
        <f>COUNTIF(Roles!L4:L40,"Sent to Timur")</f>
        <v/>
      </c>
    </row>
    <row r="30">
      <c r="B30" s="4" t="inlineStr">
        <is>
          <t>Applied</t>
        </is>
      </c>
      <c r="C30" s="5">
        <f>COUNTIF(Roles!L4:L40,"Applied")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5" customWidth="1" min="4" max="4"/>
    <col width="26" customWidth="1" min="5" max="5"/>
    <col width="20" customWidth="1" min="6" max="6"/>
    <col width="50" customWidth="1" min="7" max="7"/>
    <col width="44" customWidth="1" min="8" max="8"/>
    <col width="30" customWidth="1" min="9" max="9"/>
    <col width="44" customWidth="1" min="10" max="10"/>
    <col width="34" customWidth="1" min="11" max="11"/>
    <col width="20" customWidth="1" min="12" max="12"/>
    <col width="32" customWidth="1" min="13" max="13"/>
    <col width="36" customWidth="1" min="14" max="14"/>
    <col width="28" customWidth="1" min="15" max="15"/>
  </cols>
  <sheetData>
    <row r="1" ht="30" customHeight="1">
      <c r="A1" s="7" t="inlineStr">
        <is>
          <t>Hilti - target roles. 'Your list' rows are the six postings Abir pasted on 31.08.2026; 'Suggested' rows are research add-ons. Priorities are a recommendation - re-rank freely. Verify every posting live before sending to Timur.</t>
        </is>
      </c>
    </row>
    <row r="3" ht="30" customHeight="1">
      <c r="A3" s="8" t="inlineStr">
        <is>
          <t>Priority</t>
        </is>
      </c>
      <c r="B3" s="8" t="inlineStr">
        <is>
          <t>Role Title</t>
        </is>
      </c>
      <c r="C3" s="8" t="inlineStr">
        <is>
          <t>List</t>
        </is>
      </c>
      <c r="D3" s="8" t="inlineStr">
        <is>
          <t>Job ID</t>
        </is>
      </c>
      <c r="E3" s="8" t="inlineStr">
        <is>
          <t>Entity / Location</t>
        </is>
      </c>
      <c r="F3" s="8" t="inlineStr">
        <is>
          <t>Type</t>
        </is>
      </c>
      <c r="G3" s="8" t="inlineStr">
        <is>
          <t>Responsibilities / Program Structure</t>
        </is>
      </c>
      <c r="H3" s="8" t="inlineStr">
        <is>
          <t>Requirements (screening)</t>
        </is>
      </c>
      <c r="I3" s="8" t="inlineStr">
        <is>
          <t>Languages &amp; Permits</t>
        </is>
      </c>
      <c r="J3" s="8" t="inlineStr">
        <is>
          <t>Why Abir Fits</t>
        </is>
      </c>
      <c r="K3" s="8" t="inlineStr">
        <is>
          <t>Gaps / To Clarify</t>
        </is>
      </c>
      <c r="L3" s="8" t="inlineStr">
        <is>
          <t>Status</t>
        </is>
      </c>
      <c r="M3" s="8" t="inlineStr">
        <is>
          <t>Next Step</t>
        </is>
      </c>
      <c r="N3" s="8" t="inlineStr">
        <is>
          <t>Posting URL</t>
        </is>
      </c>
      <c r="O3" s="8" t="inlineStr">
        <is>
          <t>Source &amp; Verified</t>
        </is>
      </c>
    </row>
    <row r="4" ht="142.6" customHeight="1">
      <c r="A4" s="9" t="inlineStr">
        <is>
          <t>1</t>
        </is>
      </c>
      <c r="B4" s="10" t="inlineStr">
        <is>
          <t>Global Trainee Program - Outperformer Finance Track (m/f/x)</t>
        </is>
      </c>
      <c r="C4" s="11" t="inlineStr">
        <is>
          <t>Your list</t>
        </is>
      </c>
      <c r="D4" s="12" t="inlineStr">
        <is>
          <t>19052-en</t>
        </is>
      </c>
      <c r="E4" s="12" t="inlineStr">
        <is>
          <t>Hilti AG - Global HQ, Schaan, Liechtenstein (m/f/x Schaan posting family)</t>
        </is>
      </c>
      <c r="F4" s="12" t="inlineStr">
        <is>
          <t>24-month global graduate program, HQ-based trainee variant (fixed intake - confirm date)</t>
        </is>
      </c>
      <c r="G4" s="12" t="inlineStr">
        <is>
          <t>Two finance-track options built around Hilti Finance fundamentals plus strategic project assignments: customer-facing exposure and Controlling &amp; Reporting; option 2 rotates Accounting &amp; Shared Services (3-6 mo) -&gt; Controlling &amp; Reporting (6-9 mo) -&gt; Credit &amp; Collection (3 mo). Introductory global summit at HQ with the Executive Board, a 7-day social-project summit abroad, a leadership course at a top European business school, dedicated mentor, sustained senior-management exposure.</t>
        </is>
      </c>
      <c r="H4" s="12" t="inlineStr">
        <is>
          <t>Recent or soon-completing Master's; roughly 6-30 months of initial professional experience (internships count); fluent English plus at least one other language; globally mobile; leadership potential. Assessment Center at HQ in Liechtenstein.</t>
        </is>
      </c>
      <c r="I4" s="12" t="inlineStr">
        <is>
          <t>English posting; German valuable day-to-day at a German-speaking HQ. PERMIT: Schaan trainee postings require non-EU/EFTA citizens to declare Swiss/Liechtenstein work eligibility; employment not guaranteed without a permit.</t>
        </is>
      </c>
      <c r="J4" s="12" t="inlineStr">
        <is>
          <t>The closest role on the list to the Group-CFO ambition: HQ finance trainee. Experience window fits exactly (~19 months across A&amp;M, TCG, Biome, SCAILE). Finance toolkit on the page: scenario and sensitivity modelling, KPI reporting and dashboards, commercial due diligence. Three fluent languages plus German B1; internationally mobile.</t>
        </is>
      </c>
      <c r="K4" s="12" t="inlineStr">
        <is>
          <t>CH/LI permit path if non-EU citizen - the make-or-break fact for this row. German B1 at a German-speaking HQ. Intake timing vs 12.2026 graduation.</t>
        </is>
      </c>
      <c r="L4" s="13" t="inlineStr">
        <is>
          <t>Draft - verify posting</t>
        </is>
      </c>
      <c r="M4" s="13" t="inlineStr">
        <is>
          <t>Verify live (newer sibling 48571-en may be the open one). Ask Timur how non-EU hires in his cohort handled the permit, and whether the next intake fits a 01.2027 start.</t>
        </is>
      </c>
      <c r="N4" s="14" t="inlineStr">
        <is>
          <t>https://careers.hilti.group/en/jobs/19052-en/global-trainee-program-outperformer-finance-track-m-f-x/</t>
        </is>
      </c>
      <c r="O4" s="12" t="inlineStr">
        <is>
          <t>careers.hilti.group via search 31.08.2026; Schaan location and permit warning read from the same m/f/x posting family (18692-en, 19103-en, 46350-en, 48571-en). Verify live.</t>
        </is>
      </c>
    </row>
    <row r="5" ht="79.59999999999999" customHeight="1">
      <c r="A5" s="9" t="inlineStr">
        <is>
          <t>1</t>
        </is>
      </c>
      <c r="B5" s="15" t="inlineStr">
        <is>
          <t>Outperformer - Global Management Development Program (Finance Track)</t>
        </is>
      </c>
      <c r="C5" s="16" t="inlineStr">
        <is>
          <t>Your list</t>
        </is>
      </c>
      <c r="D5" s="17" t="inlineStr">
        <is>
          <t>17676-en</t>
        </is>
      </c>
      <c r="E5" s="17" t="inlineStr">
        <is>
          <t>Country NOT identifiable from search - nearby IDs are Dubai postings (17449-en business track); open the live posting to confirm</t>
        </is>
      </c>
      <c r="F5" s="17" t="inlineStr">
        <is>
          <t>24-month rotational graduate program, finance track (per-country home organisation)</t>
        </is>
      </c>
      <c r="G5" s="17" t="inlineStr">
        <is>
          <t>Standard GMDP finance-track structure: a customer-facing Account Manager year in the home organisation, finance projects at home and abroad, and a Controlling &amp; Reporting rotation; IMD Lausanne leadership journey with qualification; global summits in Schaan with the Executive Board.</t>
        </is>
      </c>
      <c r="H5" s="17" t="inlineStr">
        <is>
          <t>Master's; 6-30 months initial professional experience; at least 6 months international experience; fluent English plus one other language; globally mobile.</t>
        </is>
      </c>
      <c r="I5" s="17" t="inlineStr">
        <is>
          <t>Depends entirely on the home country this posting recruits for - identify it before ranking. Permit needs follow the country.</t>
        </is>
      </c>
      <c r="J5" s="17" t="inlineStr">
        <is>
          <t>Same finance-track fit story as row 1; whether it belongs at P1 depends on the country (work rights + language for the sales year).</t>
        </is>
      </c>
      <c r="K5" s="17" t="inlineStr">
        <is>
          <t>The recruiting country is the single most important unknown on this list - everything else about the row follows from it.</t>
        </is>
      </c>
      <c r="L5" s="13" t="inlineStr">
        <is>
          <t>Draft - verify posting</t>
        </is>
      </c>
      <c r="M5" s="13" t="inlineStr">
        <is>
          <t>Open the posting; record country, language and intake; then re-rank this row.</t>
        </is>
      </c>
      <c r="N5" s="18" t="inlineStr">
        <is>
          <t>https://careers.hilti.group/en/jobs/17676-en/outperformer-global-management-development-program-finance-track/</t>
        </is>
      </c>
      <c r="O5" s="17" t="inlineStr">
        <is>
          <t>ID not resolvable via search 31.08.2026 (careers.hilti.group blocked); structure inferred from the GMDP finance-track family. Verify live.</t>
        </is>
      </c>
    </row>
    <row r="6" ht="92.2" customHeight="1">
      <c r="A6" s="9" t="inlineStr">
        <is>
          <t>2</t>
        </is>
      </c>
      <c r="B6" s="10" t="inlineStr">
        <is>
          <t>Outperformer - Global Management Development Program, Business Track</t>
        </is>
      </c>
      <c r="C6" s="11" t="inlineStr">
        <is>
          <t>Your list</t>
        </is>
      </c>
      <c r="D6" s="12" t="inlineStr">
        <is>
          <t>19580-de</t>
        </is>
      </c>
      <c r="E6" s="12" t="inlineStr">
        <is>
          <t>Hilti Deutschland AG - Deutschlandweit</t>
        </is>
      </c>
      <c r="F6" s="12" t="inlineStr">
        <is>
          <t>24-month rotational graduate program (German posting; fixed intake - confirm date)</t>
        </is>
      </c>
      <c r="G6" s="12" t="inlineStr">
        <is>
          <t>General-management twin of the finance track: sales-led rotations starting with an Account Manager year, project rotations including an international assignment; IMD Lausanne leadership journey; global summits in Schaan with the Executive Board.</t>
        </is>
      </c>
      <c r="H6" s="12" t="inlineStr">
        <is>
          <t>Master's; early-career experience window; fluent English plus one other language; globally mobile; leadership potential.</t>
        </is>
      </c>
      <c r="I6" s="12" t="inlineStr">
        <is>
          <t>German posting - working German expected for the DACH sales year (B1 is the risk to probe). Germany: no visa sponsorship needed per the prior CVs - the safest permit position on the list.</t>
        </is>
      </c>
      <c r="J6" s="12" t="inlineStr">
        <is>
          <t>Strongest commercial evidence on the CV (owned North American clients, signed &gt;$100k ARR); Munich home base; zero permit friction. Route back to finance runs through later internal moves - Hilti promotes cross-functionally.</t>
        </is>
      </c>
      <c r="K6" s="12" t="inlineStr">
        <is>
          <t>Not finance-specialised, so it trades track fit for feasibility. German level for selling.</t>
        </is>
      </c>
      <c r="L6" s="13" t="inlineStr">
        <is>
          <t>Draft - verify posting</t>
        </is>
      </c>
      <c r="M6" s="13" t="inlineStr">
        <is>
          <t>Ask Timur how realistic a B1-German sales year is in the German org, and whether business-track entrants later cross into finance.</t>
        </is>
      </c>
      <c r="N6" s="14" t="inlineStr">
        <is>
          <t>https://careers.hilti.group/en/jobs/19580-de/global-management-development-program-outperformer-business-track/</t>
        </is>
      </c>
      <c r="O6" s="12" t="inlineStr">
        <is>
          <t>careers.hilti.group via search 31.08.2026 - 19580-de itself did not surface; twins 19157-de and 57529-de did. Verify live.</t>
        </is>
      </c>
    </row>
    <row r="7" ht="117.4" customHeight="1">
      <c r="A7" s="9" t="inlineStr">
        <is>
          <t>2</t>
        </is>
      </c>
      <c r="B7" s="15" t="inlineStr">
        <is>
          <t>Controller (m/f/d) - International Finance Career / CFO Track</t>
        </is>
      </c>
      <c r="C7" s="16" t="inlineStr">
        <is>
          <t>Suggested</t>
        </is>
      </c>
      <c r="D7" s="17" t="inlineStr">
        <is>
          <t>16066-en; DE twin 16512-de</t>
        </is>
      </c>
      <c r="E7" s="17" t="inlineStr">
        <is>
          <t>Hilti Deutschland AG - Central Europe finance hub, Kaufering, Bavaria (~50 km west of Munich)</t>
        </is>
      </c>
      <c r="F7" s="17" t="inlineStr">
        <is>
          <t>Direct entry, permanent, full-time (no intake dates; Stepstone lists a home-office option)</t>
        </is>
      </c>
      <c r="G7" s="17" t="inlineStr">
        <is>
          <t>Own the Financial Performance Management process for the Central Europe region: monthly and annual closings, rolling forecasts, cost controlling, business partnering; cross-functional and international projects. Explicitly the entry point of Hilti's CFO track - development via international assignments toward Group CFO-level roles.</t>
        </is>
      </c>
      <c r="H7" s="17" t="inlineStr">
        <is>
          <t>Degree in Business Administration / Economics, ideally Finance / Controlling / Accounting focus; relevant internships and/or up to 3 years in a corporate finance function, audit firm or consulting; conceptual strength, stakeholder management, international ambition.</t>
        </is>
      </c>
      <c r="I7" s="17" t="inlineStr">
        <is>
          <t>Posting runs in English and German; German helps for DACH business partnering - ask Timur what level the team expects. Germany: no permit friction.</t>
        </is>
      </c>
      <c r="J7" s="17" t="inlineStr">
        <is>
          <t>The literal 'CFO Track' entry role, and the reason this row stays on the sheet despite not being in the pasted list: direct entry (no intake window to miss), commutable from Munich, and the tightest match to the CV's FP&amp;A retune. A&amp;M restructuring covers the consulting/corporate-finance screen; KPI reporting and dashboards cover controlling &amp; reporting.</t>
        </is>
      </c>
      <c r="K7" s="17" t="inlineStr">
        <is>
          <t>German B1; SAP not on the CV; confirm the role can wait for a 01.2027 start.</t>
        </is>
      </c>
      <c r="L7" s="13" t="inlineStr">
        <is>
          <t>Draft - verify posting</t>
        </is>
      </c>
      <c r="M7" s="13" t="inlineStr">
        <is>
          <t>Decide whether to add it to the list Timur forwards - recommended. Confirm with him whether this is the route he calls 'the CFO track'.</t>
        </is>
      </c>
      <c r="N7" s="18" t="inlineStr">
        <is>
          <t>https://careers.hilti.group/en/jobs/16066-en/controller-m-f-d-international-finance-career-cfo-track/</t>
        </is>
      </c>
      <c r="O7" s="17" t="inlineStr">
        <is>
          <t>careers.hilti.group + Stepstone #13672273 via search 31.08.2026. 16512-de shows both 'Controller' and 'Senior Controller' titles in listings - check live.</t>
        </is>
      </c>
    </row>
    <row r="8" ht="79.59999999999999" customHeight="1">
      <c r="A8" s="9" t="inlineStr">
        <is>
          <t>3</t>
        </is>
      </c>
      <c r="B8" s="10" t="inlineStr">
        <is>
          <t>Global Trainee Program - Outperformer Operations Track (m/f/x)</t>
        </is>
      </c>
      <c r="C8" s="11" t="inlineStr">
        <is>
          <t>Your list</t>
        </is>
      </c>
      <c r="D8" s="12" t="inlineStr">
        <is>
          <t>18688-en</t>
        </is>
      </c>
      <c r="E8" s="12" t="inlineStr">
        <is>
          <t>Hilti AG - Global HQ family, Schaan, Liechtenstein (m/f/x Schaan posting family)</t>
        </is>
      </c>
      <c r="F8" s="12" t="inlineStr">
        <is>
          <t>24-month operations trainee program (fixed intake - confirm date)</t>
        </is>
      </c>
      <c r="G8" s="12" t="inlineStr">
        <is>
          <t>12 months as Team Lead in a Plant or Tool Service Center (shopfloor coordination) or leading a production-technology project; then a 6-month Digitalization, Lean, Quality or Logistics project; then a 6-month international strategic project. Assessment Center at HQ in Liechtenstein.</t>
        </is>
      </c>
      <c r="H8" s="12" t="inlineStr">
        <is>
          <t>Master's-level early-career profile; mobility; leadership potential. Likely leans toward engineering / supply-chain profiles - verify whether business/finance backgrounds are in scope.</t>
        </is>
      </c>
      <c r="I8" s="12" t="inlineStr">
        <is>
          <t>English posting; German valuable on DACH shopfloors. PERMIT: same Schaan non-EU/EFTA warning as row 1.</t>
        </is>
      </c>
      <c r="J8" s="12" t="inlineStr">
        <is>
          <t>Digital-operations evidence is real: AI agent workflows cutting reporting effort 60%, KPI dashboards, SQL/Python. Team-lead year matches the leadership record (Draycott, hackathon).</t>
        </is>
      </c>
      <c r="K8" s="12" t="inlineStr">
        <is>
          <t>No plant or shopfloor exposure on the CV; the furthest of the finance-adjacent options from the CFO ambition; CH/LI permit.</t>
        </is>
      </c>
      <c r="L8" s="13" t="inlineStr">
        <is>
          <t>Draft - verify posting</t>
        </is>
      </c>
      <c r="M8" s="13" t="inlineStr">
        <is>
          <t>Keep only if genuinely drawn to operations - ask Timur whether an ops start still feeds a finance career at Hilti.</t>
        </is>
      </c>
      <c r="N8" s="14" t="inlineStr">
        <is>
          <t>https://careers.hilti.group/en/jobs/18688-en/global-trainee-program-outperformer-operations-track-m-f-x/</t>
        </is>
      </c>
      <c r="O8" s="12" t="inlineStr">
        <is>
          <t>careers.hilti.group via search 31.08.2026; structure from the Schaan operations-track family (46350-en). Verify live.</t>
        </is>
      </c>
    </row>
    <row r="9" ht="92.2" customHeight="1">
      <c r="A9" s="9" t="inlineStr">
        <is>
          <t>3</t>
        </is>
      </c>
      <c r="B9" s="15" t="inlineStr">
        <is>
          <t>Global Outperformer Graduate Programme (Business Track)</t>
        </is>
      </c>
      <c r="C9" s="16" t="inlineStr">
        <is>
          <t>Your list</t>
        </is>
      </c>
      <c r="D9" s="17" t="inlineStr">
        <is>
          <t>16399-en</t>
        </is>
      </c>
      <c r="E9" s="17" t="inlineStr">
        <is>
          <t>Hilti Danmark - Copenhagen, Denmark</t>
        </is>
      </c>
      <c r="F9" s="17" t="inlineStr">
        <is>
          <t>2-year Outperformer graduate programme</t>
        </is>
      </c>
      <c r="G9" s="17" t="inlineStr">
        <is>
          <t>Rotations through roles and teams across the Danish business and internationally; mentoring by senior leaders; high-impact projects; the standard Outperformer summits and leadership journey with real responsibility from day one.</t>
        </is>
      </c>
      <c r="H9" s="17" t="inlineStr">
        <is>
          <t>Master's; early-career profile; mobility; leadership potential. Posting in English.</t>
        </is>
      </c>
      <c r="I9" s="17" t="inlineStr">
        <is>
          <t>English posting; Danish likely helpful for a customer-facing year - verify. PERMIT: Denmark needs its own work permit for non-EU citizens; a German residence permit does not transfer.</t>
        </is>
      </c>
      <c r="J9" s="17" t="inlineStr">
        <is>
          <t>Strong English-language environment and the same graduate-program fit story; Copenhagen org is small and international.</t>
        </is>
      </c>
      <c r="K9" s="17" t="inlineStr">
        <is>
          <t>DK permit if non-EU; Danish; the ID resolves to the business track, so the finance tie is indirect.</t>
        </is>
      </c>
      <c r="L9" s="13" t="inlineStr">
        <is>
          <t>Draft - verify posting</t>
        </is>
      </c>
      <c r="M9" s="13" t="inlineStr">
        <is>
          <t>Confirm which track the live posting recruits for (the ID resolves under both a generic and a business-track title) and the language/permit expectations.</t>
        </is>
      </c>
      <c r="N9" s="18" t="inlineStr">
        <is>
          <t>https://careers.hilti.group/en/jobs/16399-en/global-outperformer-graduate-programme/</t>
        </is>
      </c>
      <c r="O9" s="17" t="inlineStr">
        <is>
          <t>careers.hilti.group via search 31.08.2026 - 16399-en resolves to Copenhagen under two titles. Verify live.</t>
        </is>
      </c>
    </row>
    <row r="10" ht="117.4" customHeight="1">
      <c r="A10" s="9" t="inlineStr">
        <is>
          <t>3</t>
        </is>
      </c>
      <c r="B10" s="10" t="inlineStr">
        <is>
          <t>Outperformer - GMDP, Finance Track (Germany)</t>
        </is>
      </c>
      <c r="C10" s="11" t="inlineStr">
        <is>
          <t>Suggested</t>
        </is>
      </c>
      <c r="D10" s="12" t="inlineStr">
        <is>
          <t>19572-de</t>
        </is>
      </c>
      <c r="E10" s="12" t="inlineStr">
        <is>
          <t>Hilti Deutschland AG - nationwide (BW, BY, BE, NRW listed); rotations incl. Kaufering hub + abroad</t>
        </is>
      </c>
      <c r="F10" s="12" t="inlineStr">
        <is>
          <t>24-month rotational graduate program (German posting; fixed intake)</t>
        </is>
      </c>
      <c r="G10" s="12" t="inlineStr">
        <is>
          <t>Option 1: 12 months Sales Account Manager in the home organisation (DE/AT/CH/NL), 3 months finance project at home, 6 months Controlling &amp; Reporting at the Kaufering hub, 3 months finance project abroad. Option 2: Accounting &amp; Shared Services (3-6 mo) -&gt; Controlling &amp; Reporting (6-9 mo) -&gt; Credit &amp; Collection (3 mo). IMD Lausanne qualification; Schaan summit with the Executive Board.</t>
        </is>
      </c>
      <c r="H10" s="12" t="inlineStr">
        <is>
          <t>Recent Master's; 6-30 months initial professional experience; at least 6 months international experience; fluent English plus one other language; globally mobile.</t>
        </is>
      </c>
      <c r="I10" s="12" t="inlineStr">
        <is>
          <t>German posting - working German for the DACH home organisation; B1 is the risk. Germany: no permit friction.</t>
        </is>
      </c>
      <c r="J10" s="12" t="inlineStr">
        <is>
          <t>The finance track without the Schaan permit question: if CH/LI eligibility turns out to be a blocker for rows 1-2, this is the same program from German soil - and its option 2 skips the sales year.</t>
        </is>
      </c>
      <c r="K10" s="12" t="inlineStr">
        <is>
          <t>German level; not in the pasted list (the -en postings suggest a preference for English environments - option 2's rotations are less language-exposed than a sales year).</t>
        </is>
      </c>
      <c r="L10" s="13" t="inlineStr">
        <is>
          <t>Draft - verify posting</t>
        </is>
      </c>
      <c r="M10" s="13" t="inlineStr">
        <is>
          <t>Hold as the permit-safe fallback for the finance track; add to the list if Schaan eligibility is uncertain.</t>
        </is>
      </c>
      <c r="N10" s="14" t="inlineStr">
        <is>
          <t>https://careers.hilti.group/en/jobs/19572-de/global-management-development-program-outperformer-finance-track/</t>
        </is>
      </c>
      <c r="O10" s="12" t="inlineStr">
        <is>
          <t>careers.hilti.group via search 31.08.2026 - verify live.</t>
        </is>
      </c>
    </row>
    <row r="11" ht="104.8" customHeight="1">
      <c r="A11" s="9" t="inlineStr">
        <is>
          <t>Hold</t>
        </is>
      </c>
      <c r="B11" s="15" t="inlineStr">
        <is>
          <t>CFO Austria - development target: Global CFO career (m/f/x)</t>
        </is>
      </c>
      <c r="C11" s="16" t="inlineStr">
        <is>
          <t>Your list</t>
        </is>
      </c>
      <c r="D11" s="17" t="inlineStr">
        <is>
          <t>19359-en</t>
        </is>
      </c>
      <c r="E11" s="17" t="inlineStr">
        <is>
          <t>Hilti Austria Ges.m.b.H - Vienna; member of the Executive Management Team</t>
        </is>
      </c>
      <c r="F11" s="17" t="inlineStr">
        <is>
          <t>Executive appointment - not an early-career role</t>
        </is>
      </c>
      <c r="G11" s="17" t="inlineStr">
        <is>
          <t>Steer one of Hilti's most successful market organisations as its CFO: strategic decisions, business performance, people leadership - positioned to develop toward a global CFO career in the Group.</t>
        </is>
      </c>
      <c r="H11" s="17" t="inlineStr">
        <is>
          <t>Master's in Finance/Business/Economics; strong finance leadership experience in an international environment (controlling, accounting; ideally corporate finance, audit or consulting background); proven FP&amp;A, performance-management and business-partnering track record; experience leading and developing high-performing teams.</t>
        </is>
      </c>
      <c r="I11" s="17" t="inlineStr">
        <is>
          <t>Executive role in Austria - German near-certainly required; AT permit for non-EU citizens.</t>
        </is>
      </c>
      <c r="J11" s="17" t="inlineStr">
        <is>
          <t>Honest read: not a viable application for a 12.2026 MSc graduate - it asks for years of finance leadership. Its value is as printed proof of where Hilti's CFO track leads.</t>
        </is>
      </c>
      <c r="K11" s="17" t="inlineStr">
        <is>
          <t>The entire experience requirement.</t>
        </is>
      </c>
      <c r="L11" s="13" t="inlineStr">
        <is>
          <t>On hold</t>
        </is>
      </c>
      <c r="M11" s="13" t="inlineStr">
        <is>
          <t>Do not apply. Use it in the Timur conversation instead: 'this is where I want the track to take me - which entry door would you pick today?'</t>
        </is>
      </c>
      <c r="N11" s="18" t="inlineStr">
        <is>
          <t>https://careers.hilti.group/en/jobs/19359-en/cfo-austria-with-development-target-to-global-cfo-career-m-f-x/</t>
        </is>
      </c>
      <c r="O11" s="17" t="inlineStr">
        <is>
          <t>careers.hilti.group via search 31.08.2026. Verify live.</t>
        </is>
      </c>
    </row>
    <row r="12" ht="22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 ht="22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 ht="22" customHeight="1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 ht="22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</sheetData>
  <autoFilter ref="A3:O40"/>
  <mergeCells count="1">
    <mergeCell ref="A1:O1"/>
  </mergeCells>
  <dataValidations count="1">
    <dataValidation sqref="L4:L40" showDropDown="0" showInputMessage="0" showErrorMessage="0" allowBlank="1" type="list">
      <formula1>"Draft - verify posting,Shortlisted,Sent to Timur,Applied,Interview,Offer,Closed - Rejected,On hold"</formula1>
    </dataValidation>
  </dataValidation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64" customWidth="1" min="3" max="3"/>
    <col width="30" customWidth="1" min="4" max="4"/>
  </cols>
  <sheetData>
    <row r="1" ht="24" customHeight="1">
      <c r="A1" s="19" t="inlineStr">
        <is>
          <t>Screening criteria -&gt; evidence map (for the Timur message and interview prep)</t>
        </is>
      </c>
    </row>
    <row r="3" ht="20" customHeight="1">
      <c r="A3" s="20" t="inlineStr">
        <is>
          <t>What Hilti screens on</t>
        </is>
      </c>
      <c r="B3" s="20" t="inlineStr">
        <is>
          <t>Applies to</t>
        </is>
      </c>
      <c r="C3" s="20" t="inlineStr">
        <is>
          <t>Abir's evidence</t>
        </is>
      </c>
      <c r="D3" s="20" t="inlineStr">
        <is>
          <t>Where it sits on the CV</t>
        </is>
      </c>
    </row>
    <row r="4" ht="29.2" customHeight="1">
      <c r="A4" s="10" t="inlineStr">
        <is>
          <t>Master's in Finance / business degree with finance-controlling focus</t>
        </is>
      </c>
      <c r="B4" s="12" t="inlineStr">
        <is>
          <t>All roles</t>
        </is>
      </c>
      <c r="C4" s="12" t="inlineStr">
        <is>
          <t>MSc Finance, Nova SBE (FT #8), top 10% of class; BMS in Finance &amp; Strategy, magna cum laude, top 10%</t>
        </is>
      </c>
      <c r="D4" s="12" t="inlineStr">
        <is>
          <t>Education</t>
        </is>
      </c>
    </row>
    <row r="5" ht="41.8" customHeight="1">
      <c r="A5" s="15" t="inlineStr">
        <is>
          <t>Experience window: 6-30 months (programs); internships / up to 3 yrs (Controller)</t>
        </is>
      </c>
      <c r="B5" s="17" t="inlineStr">
        <is>
          <t>All early-career roles</t>
        </is>
      </c>
      <c r="C5" s="17" t="inlineStr">
        <is>
          <t>~19 months across A&amp;M (7), TCG (6), Biome (3), SCAILE (3) - inside both windows</t>
        </is>
      </c>
      <c r="D5" s="17" t="inlineStr">
        <is>
          <t>Work Experience dates</t>
        </is>
      </c>
    </row>
    <row r="6" ht="29.2" customHeight="1">
      <c r="A6" s="10" t="inlineStr">
        <is>
          <t>Corporate finance / audit / consulting background</t>
        </is>
      </c>
      <c r="B6" s="12" t="inlineStr">
        <is>
          <t>Finance tracks, Controller</t>
        </is>
      </c>
      <c r="C6" s="12" t="inlineStr">
        <is>
          <t>A&amp;M restructuring: Fortune 500 clients, &gt;$100M debt and leases, U.S. Chapter 11; TCG boutique strategy consulting</t>
        </is>
      </c>
      <c r="D6" s="12" t="inlineStr">
        <is>
          <t>A&amp;M and TCG entries</t>
        </is>
      </c>
    </row>
    <row r="7" ht="41.8" customHeight="1">
      <c r="A7" s="15" t="inlineStr">
        <is>
          <t>FP&amp;A toolkit: closings, rolling forecasts, cost controlling</t>
        </is>
      </c>
      <c r="B7" s="17" t="inlineStr">
        <is>
          <t>Finance tracks, Controller</t>
        </is>
      </c>
      <c r="C7" s="17" t="inlineStr">
        <is>
          <t>Scenario models behind a $9.8M risk-mitigation plan; EBITDA sensitivity across liquidity and supplier scenarios; automated weekly KPI reporting (manual effort -60%); KPI dashboards</t>
        </is>
      </c>
      <c r="D7" s="17" t="inlineStr">
        <is>
          <t>A&amp;M + SCAILE bullets; Focus areas row</t>
        </is>
      </c>
    </row>
    <row r="8" ht="41.8" customHeight="1">
      <c r="A8" s="10" t="inlineStr">
        <is>
          <t>Business partnering and stakeholder management</t>
        </is>
      </c>
      <c r="B8" s="12" t="inlineStr">
        <is>
          <t>All roles</t>
        </is>
      </c>
      <c r="C8" s="12" t="inlineStr">
        <is>
          <t>Informed board-level decisions; prepared creditor-negotiation presentations for client leadership; led 90+ stakeholder interviews; first point of contact for North American clients</t>
        </is>
      </c>
      <c r="D8" s="12" t="inlineStr">
        <is>
          <t>A&amp;M, TCG, SCAILE bullets</t>
        </is>
      </c>
    </row>
    <row r="9" ht="29.2" customHeight="1">
      <c r="A9" s="15" t="inlineStr">
        <is>
          <t>At least 6 months of international experience</t>
        </is>
      </c>
      <c r="B9" s="17" t="inlineStr">
        <is>
          <t>Outperformer programs</t>
        </is>
      </c>
      <c r="C9" s="17" t="inlineStr">
        <is>
          <t>India (work) -&gt; Portugal (MSc) -&gt; Germany (work); Master's thesis with the European Commission across EU member states</t>
        </is>
      </c>
      <c r="D9" s="17" t="inlineStr">
        <is>
          <t>Whole page</t>
        </is>
      </c>
    </row>
    <row r="10" ht="29.2" customHeight="1">
      <c r="A10" s="10" t="inlineStr">
        <is>
          <t>Global mobility</t>
        </is>
      </c>
      <c r="B10" s="12" t="inlineStr">
        <is>
          <t>All roles</t>
        </is>
      </c>
      <c r="C10" s="12" t="inlineStr">
        <is>
          <t>'Internationally mobile' stated in the header; has already moved countries twice for study and work</t>
        </is>
      </c>
      <c r="D10" s="12" t="inlineStr">
        <is>
          <t>Header line</t>
        </is>
      </c>
    </row>
    <row r="11" ht="79.59999999999999" customHeight="1">
      <c r="A11" s="15" t="inlineStr">
        <is>
          <t>Work authorisation, by location</t>
        </is>
      </c>
      <c r="B11" s="17" t="inlineStr">
        <is>
          <t>Varies by row</t>
        </is>
      </c>
      <c r="C11" s="17" t="inlineStr">
        <is>
          <t>Germany: no visa sponsorship required (per prior CVs - confirm current permit type). Liechtenstein/Switzerland (Schaan rows), Denmark, Austria: separate permits; Hilti's Schaan trainee postings require non-EU/EFTA applicants to declare eligibility. ACTION: confirm citizenship and permit facts before anything is forwarded.</t>
        </is>
      </c>
      <c r="D11" s="17" t="inlineStr">
        <is>
          <t>Header line (scoped to Germany)</t>
        </is>
      </c>
    </row>
    <row r="12" ht="29.2" customHeight="1">
      <c r="A12" s="10" t="inlineStr">
        <is>
          <t>Fluent English + at least one other language</t>
        </is>
      </c>
      <c r="B12" s="12" t="inlineStr">
        <is>
          <t>Outperformer programs</t>
        </is>
      </c>
      <c r="C12" s="12" t="inlineStr">
        <is>
          <t>English, Hindi, Bengali fluent; German B1 and improving; basic Portuguese</t>
        </is>
      </c>
      <c r="D12" s="12" t="inlineStr">
        <is>
          <t>Languages row</t>
        </is>
      </c>
    </row>
    <row r="13" ht="29.2" customHeight="1">
      <c r="A13" s="15" t="inlineStr">
        <is>
          <t>Customer-facing capability (Account Manager rotation)</t>
        </is>
      </c>
      <c r="B13" s="17" t="inlineStr">
        <is>
          <t>Business + finance tracks</t>
        </is>
      </c>
      <c r="C13" s="17" t="inlineStr">
        <is>
          <t>Owned North American clients as first point of contact; signed and onboarded &gt;$100k ARR</t>
        </is>
      </c>
      <c r="D13" s="17" t="inlineStr">
        <is>
          <t>SCAILE bullets</t>
        </is>
      </c>
    </row>
    <row r="14" ht="41.8" customHeight="1">
      <c r="A14" s="10" t="inlineStr">
        <is>
          <t>Operations / digital-operations capability</t>
        </is>
      </c>
      <c r="B14" s="12" t="inlineStr">
        <is>
          <t>Operations track</t>
        </is>
      </c>
      <c r="C14" s="12" t="inlineStr">
        <is>
          <t>AI agent workflows cutting manual reporting effort 60%; KPI dashboards; Power BI, SQL, Python. Gap to own: no plant or shopfloor exposure on the page</t>
        </is>
      </c>
      <c r="D14" s="12" t="inlineStr">
        <is>
          <t>SCAILE bullets + Technical row</t>
        </is>
      </c>
    </row>
    <row r="15" ht="41.8" customHeight="1">
      <c r="A15" s="15" t="inlineStr">
        <is>
          <t>Leadership potential</t>
        </is>
      </c>
      <c r="B15" s="17" t="inlineStr">
        <is>
          <t>All roles</t>
        </is>
      </c>
      <c r="C15" s="17" t="inlineStr">
        <is>
          <t>Team Lead, Draycott Private Equity Challenge; organiser of a 24-hour global AI hackathon (MIT Sloan AI Club x TUM); UN Foundation campaigns for 1,200+ women and children</t>
        </is>
      </c>
      <c r="D15" s="17" t="inlineStr">
        <is>
          <t>Education + Extracurricular</t>
        </is>
      </c>
    </row>
    <row r="16" ht="54.4" customHeight="1">
      <c r="A16" s="10" t="inlineStr">
        <is>
          <t>Gaps to manage proactively</t>
        </is>
      </c>
      <c r="B16" s="12" t="inlineStr">
        <is>
          <t>-</t>
        </is>
      </c>
      <c r="C16" s="12" t="inlineStr">
        <is>
          <t>German B1 (name the trajectory: course, timeline to B2); 08.2024-07.2025 gap between degrees (have the answer ready); SAP not evidenced; availability from 01.2027 to confirm; CH/LI + DK permit status to establish</t>
        </is>
      </c>
      <c r="D16" s="12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2026-08-31T16:37:36Z</dcterms:created>
  <dcterms:modified xmlns:dcterms="http://purl.org/dc/terms/" xmlns:xsi="http://www.w3.org/2001/XMLSchema-instance" xsi:type="dcterms:W3CDTF">2026-08-31T16:37:36Z</dcterms:modified>
</cp:coreProperties>
</file>