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Fit Map" sheetId="3" state="visible" r:id="rId3"/>
  </sheets>
  <definedNames>
    <definedName name="_xlnm._FilterDatabase" localSheetId="1" hidden="1">'Roles'!$A$3:$N$40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D2051E"/>
      <sz val="16"/>
    </font>
    <font>
      <name val="Arial"/>
      <i val="1"/>
      <color rgb="00666666"/>
      <sz val="9"/>
    </font>
    <font>
      <name val="Arial"/>
      <b val="1"/>
      <color rgb="001A1A1A"/>
      <sz val="11"/>
    </font>
    <font>
      <name val="Arial"/>
      <b val="1"/>
      <color rgb="001A1A1A"/>
      <sz val="10"/>
    </font>
    <font>
      <name val="Arial"/>
      <color rgb="001A1A1A"/>
      <sz val="10"/>
    </font>
    <font>
      <name val="Arial"/>
      <b val="1"/>
      <color rgb="00D2051E"/>
      <sz val="11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2051E"/>
      </patternFill>
    </fill>
    <fill>
      <patternFill patternType="solid">
        <fgColor rgb="00F5F3F0"/>
      </patternFill>
    </fill>
  </fills>
  <borders count="2">
    <border>
      <left/>
      <right/>
      <top/>
      <bottom/>
      <diagonal/>
    </border>
    <border>
      <left style="thin">
        <color rgb="00C9C4BD"/>
      </left>
      <right style="thin">
        <color rgb="00C9C4BD"/>
      </right>
      <top style="thin">
        <color rgb="00C9C4BD"/>
      </top>
      <bottom style="thin">
        <color rgb="00C9C4B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7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Tracker</author>
  </authors>
  <commentList>
    <comment ref="B8" authorId="0" shapeId="0">
      <text>
        <t>Paste the roles you are interested in from here down, one per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reers.hilti.group/en/jobs/16066-en/controller-m-f-d-international-finance-career-cfo-track/" TargetMode="External" Id="rId1"/><Relationship Type="http://schemas.openxmlformats.org/officeDocument/2006/relationships/hyperlink" Target="https://careers.hilti.group/en/jobs/19572-de/global-management-development-program-outperformer-finance-track/" TargetMode="External" Id="rId2"/><Relationship Type="http://schemas.openxmlformats.org/officeDocument/2006/relationships/hyperlink" Target="https://careers.hilti.group/en/jobs/wd-0033857-de/finance-controller-mit-internationaler-entwicklungsperspektive-m-w-d/" TargetMode="External" Id="rId3"/><Relationship Type="http://schemas.openxmlformats.org/officeDocument/2006/relationships/hyperlink" Target="https://careers.hilti.group/en/jobs/57529-de/global-management-trainee-program-outperformer-business-track-m-w-d/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Hilti Application - Roles Tracker</t>
        </is>
      </c>
    </row>
    <row r="3">
      <c r="B3" s="2" t="inlineStr">
        <is>
          <t>Abir Hilal Khan  |  prepared 31.08.2026  |  referral: Timur (Hilti, CFO track)</t>
        </is>
      </c>
    </row>
    <row r="5">
      <c r="B5" s="3" t="inlineStr">
        <is>
          <t>Context</t>
        </is>
      </c>
    </row>
    <row r="6" ht="40" customHeight="1">
      <c r="B6" s="4" t="inlineStr">
        <is>
          <t>The ask from Timur</t>
        </is>
      </c>
      <c r="C6" s="5" t="inlineStr">
        <is>
          <t>He is open to recommending Abir internally and asked for three things to forward to HR: (1) the job roles Abir wants to apply for, (2) the CV, and (3) a brief introduction message that also states availability.</t>
        </is>
      </c>
    </row>
    <row r="8">
      <c r="B8" s="3" t="inlineStr">
        <is>
          <t>Where the three deliverables stand</t>
        </is>
      </c>
    </row>
    <row r="9" ht="40" customHeight="1">
      <c r="B9" s="4" t="inlineStr">
        <is>
          <t>1. Roles (this file)</t>
        </is>
      </c>
      <c r="C9" s="5" t="inlineStr">
        <is>
          <t>The 'Roles' sheet is pre-filled with the Hilti roles found by research. It is a DRAFT: Abir will paste the full list of roles they are interested in, and rows get added/edited then. Nothing goes to Timur before that pass.</t>
        </is>
      </c>
    </row>
    <row r="10" ht="28" customHeight="1">
      <c r="B10" s="4" t="inlineStr">
        <is>
          <t>2. CV</t>
        </is>
      </c>
      <c r="C10" s="5" t="inlineStr">
        <is>
          <t>Re-tailored to the Hilti CFO track and rebuilt: 'Abir Hilal Khan_CV_Hilti.pdf' in the same repo. One page, ATS-audited, FP&amp;A/controlling vocabulary, 'Internationally mobile' header line.</t>
        </is>
      </c>
    </row>
    <row r="11" ht="40" customHeight="1">
      <c r="B11" s="4" t="inlineStr">
        <is>
          <t>3. Intro message</t>
        </is>
      </c>
      <c r="C11" s="5" t="inlineStr">
        <is>
          <t>Deliberately not drafted yet - per plan it is written only once the roles list and the CV are signed off. Facts still needed for it: exact availability (MSc ends 12.2026 -&gt; full-time from 01.2027?), notice/thesis constraints, and preferred start date.</t>
        </is>
      </c>
    </row>
    <row r="13">
      <c r="B13" s="3" t="inlineStr">
        <is>
          <t>How to use this file</t>
        </is>
      </c>
    </row>
    <row r="14" ht="28" customHeight="1">
      <c r="B14" s="4" t="inlineStr">
        <is>
          <t>Yellow cells</t>
        </is>
      </c>
      <c r="C14" s="5" t="inlineStr">
        <is>
          <t>Yours to edit: Priority, Status, Next Step - and the empty yellow rows on 'Roles', where you paste the roles you are interested in (one row per job ID).</t>
        </is>
      </c>
    </row>
    <row r="15" ht="28" customHeight="1">
      <c r="B15" s="4" t="inlineStr">
        <is>
          <t>Status column</t>
        </is>
      </c>
      <c r="C15" s="5" t="inlineStr">
        <is>
          <t>Has a dropdown: Draft - verify posting / Shortlisted / Sent to Timur / Applied / Interview / Offer / Closed - Rejected / On hold.</t>
        </is>
      </c>
    </row>
    <row r="16" ht="28" customHeight="1">
      <c r="B16" s="4" t="inlineStr">
        <is>
          <t>Fit Map sheet</t>
        </is>
      </c>
      <c r="C16" s="5" t="inlineStr">
        <is>
          <t>Maps every criterion Hilti screens on to the evidence in Abir's profile and where it sits on the CV - useful for the Timur message and for interview prep.</t>
        </is>
      </c>
    </row>
    <row r="18">
      <c r="B18" s="3" t="inlineStr">
        <is>
          <t>Data caveat - read before forwarding anything</t>
        </is>
      </c>
    </row>
    <row r="19" ht="52" customHeight="1">
      <c r="B19" s="6" t="inlineStr">
        <is>
          <t>Verify live postings</t>
        </is>
      </c>
      <c r="C19" s="6" t="inlineStr">
        <is>
          <t>careers.hilti.group was not reachable from the session that built this file (network proxy), so every posting detail here is compiled from search-engine results and Stepstone listings dated 31.08.2026. Job IDs, titles and requirements MUST be checked against the live posting - or confirmed with Timur - before the list is sent anywhere.</t>
        </is>
      </c>
    </row>
    <row r="21">
      <c r="B21" s="3" t="inlineStr">
        <is>
          <t>Also seen, deliberately not tracked</t>
        </is>
      </c>
    </row>
    <row r="22" ht="40" customHeight="1">
      <c r="B22" s="4" t="inlineStr">
        <is>
          <t>Senior variants</t>
        </is>
      </c>
      <c r="C22" s="5" t="inlineStr">
        <is>
          <t>'Senior Controller - CFO Track' (16512-de shows both Controller and Senior Controller titles in listings) and 'Join our Talent Community - Senior Controller' (wd-0032949-en, a talent pool, not a live role) - both likely above the experience band.</t>
        </is>
      </c>
    </row>
    <row r="23" ht="28" customHeight="1">
      <c r="B23" s="4" t="inlineStr">
        <is>
          <t>Where the track leads</t>
        </is>
      </c>
      <c r="C23" s="5" t="inlineStr">
        <is>
          <t>'CFO Austria with development target to Global CFO career' (19359-en) - far too senior to apply to, but useful proof of what the CFO track is designed to feed.</t>
        </is>
      </c>
    </row>
    <row r="25">
      <c r="B25" s="3" t="inlineStr">
        <is>
          <t>Quick stats</t>
        </is>
      </c>
    </row>
    <row r="26">
      <c r="B26" s="4" t="inlineStr">
        <is>
          <t>Roles tracked</t>
        </is>
      </c>
      <c r="C26" s="5">
        <f>COUNTA(Roles!B4:B40)</f>
        <v/>
      </c>
    </row>
    <row r="27">
      <c r="B27" s="4" t="inlineStr">
        <is>
          <t>Sent to Timur</t>
        </is>
      </c>
      <c r="C27" s="5">
        <f>COUNTIF(Roles!K4:K40,"Sent to Timur")</f>
        <v/>
      </c>
    </row>
    <row r="28">
      <c r="B28" s="4" t="inlineStr">
        <is>
          <t>Applied</t>
        </is>
      </c>
      <c r="C28" s="5">
        <f>COUNTIF(Roles!K4:K40,"Applied")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6" customWidth="1" min="3" max="3"/>
    <col width="26" customWidth="1" min="4" max="4"/>
    <col width="20" customWidth="1" min="5" max="5"/>
    <col width="52" customWidth="1" min="6" max="6"/>
    <col width="46" customWidth="1" min="7" max="7"/>
    <col width="26" customWidth="1" min="8" max="8"/>
    <col width="48" customWidth="1" min="9" max="9"/>
    <col width="34" customWidth="1" min="10" max="10"/>
    <col width="20" customWidth="1" min="11" max="11"/>
    <col width="34" customWidth="1" min="12" max="12"/>
    <col width="38" customWidth="1" min="13" max="13"/>
    <col width="30" customWidth="1" min="14" max="14"/>
  </cols>
  <sheetData>
    <row r="1" ht="30" customHeight="1">
      <c r="A1" s="7" t="inlineStr">
        <is>
          <t>Hilti - target roles (draft: pre-filled by research 31.08.2026; paste your own roles in the yellow rows; verify every posting live before sending to Timur)</t>
        </is>
      </c>
    </row>
    <row r="3" ht="30" customHeight="1">
      <c r="A3" s="8" t="inlineStr">
        <is>
          <t>Priority</t>
        </is>
      </c>
      <c r="B3" s="8" t="inlineStr">
        <is>
          <t>Role Title</t>
        </is>
      </c>
      <c r="C3" s="8" t="inlineStr">
        <is>
          <t>Job ID</t>
        </is>
      </c>
      <c r="D3" s="8" t="inlineStr">
        <is>
          <t>Entity / Location</t>
        </is>
      </c>
      <c r="E3" s="8" t="inlineStr">
        <is>
          <t>Type</t>
        </is>
      </c>
      <c r="F3" s="8" t="inlineStr">
        <is>
          <t>Responsibilities / Program Structure</t>
        </is>
      </c>
      <c r="G3" s="8" t="inlineStr">
        <is>
          <t>Requirements (screening)</t>
        </is>
      </c>
      <c r="H3" s="8" t="inlineStr">
        <is>
          <t>Languages</t>
        </is>
      </c>
      <c r="I3" s="8" t="inlineStr">
        <is>
          <t>Why Abir Fits</t>
        </is>
      </c>
      <c r="J3" s="8" t="inlineStr">
        <is>
          <t>Gaps / To Clarify</t>
        </is>
      </c>
      <c r="K3" s="8" t="inlineStr">
        <is>
          <t>Status</t>
        </is>
      </c>
      <c r="L3" s="8" t="inlineStr">
        <is>
          <t>Next Step</t>
        </is>
      </c>
      <c r="M3" s="8" t="inlineStr">
        <is>
          <t>Posting URL</t>
        </is>
      </c>
      <c r="N3" s="8" t="inlineStr">
        <is>
          <t>Source &amp; Verified</t>
        </is>
      </c>
    </row>
    <row r="4" ht="142.6" customHeight="1">
      <c r="A4" s="9" t="inlineStr">
        <is>
          <t>1</t>
        </is>
      </c>
      <c r="B4" s="10" t="inlineStr">
        <is>
          <t>Controller (m/f/d) - International Finance Career / CFO Track</t>
        </is>
      </c>
      <c r="C4" s="11" t="inlineStr">
        <is>
          <t>16066-en (EN); German twin 16512-de</t>
        </is>
      </c>
      <c r="D4" s="11" t="inlineStr">
        <is>
          <t>Hilti Deutschland AG - Central Europe finance hub, Kaufering, Bavaria (~50 km west of Munich)</t>
        </is>
      </c>
      <c r="E4" s="11" t="inlineStr">
        <is>
          <t>Direct entry, permanent, full-time (Stepstone lists a home-office option)</t>
        </is>
      </c>
      <c r="F4" s="11" t="inlineStr">
        <is>
          <t>Support the Central Europe region across the whole Financial Performance Management process: monthly and annual closings, rolling forecasts, cost controlling and business partnering. Cross-functional and international project assignments. Explicitly built as the entry point of Hilti's CFO track - development via international assignments toward Group CFO-level roles.</t>
        </is>
      </c>
      <c r="G4" s="11" t="inlineStr">
        <is>
          <t>Degree in Business Administration / Economics or similar, ideally with a Finance, Controlling or Accounting focus. Relevant internships and/or up to 3 years' experience in a corporate finance function, an audit firm or consulting. Conceptual strength, stakeholder management, international career ambition.</t>
        </is>
      </c>
      <c r="H4" s="11" t="inlineStr">
        <is>
          <t>Posting runs in English and German. English is the hub working language; German helps for DACH business partnering - ask Timur what level the team expects.</t>
        </is>
      </c>
      <c r="I4" s="11" t="inlineStr">
        <is>
          <t>MSc Finance at Nova SBE (FT #8, top 10%) + finance &amp; strategy bachelor's (magna cum laude). A&amp;M restructuring = consulting-grade corporate finance at Fortune 500 scale. Scenario models and EBITDA sensitivity analysis map to forecasting / cost controlling. KPI reporting and dashboards at SCAILE map to controlling &amp; reporting. 90+ stakeholder interviews at TCG. Lives in Munich - Kaufering is commutable. Internationally mobile, no visa sponsorship needed for Germany.</t>
        </is>
      </c>
      <c r="J4" s="11" t="inlineStr">
        <is>
          <t>German is B1 (improving). SAP not on the CV. MSc runs to 12.2026 - confirm the role can wait for a 01.2027 start, or whether an earlier start is possible.</t>
        </is>
      </c>
      <c r="K4" s="12" t="inlineStr">
        <is>
          <t>Draft - verify posting</t>
        </is>
      </c>
      <c r="L4" s="12" t="inlineStr">
        <is>
          <t>Confirm with Timur that this is the CFO-track entry role he means; check the posting is still live; confirm expected start date.</t>
        </is>
      </c>
      <c r="M4" s="13" t="inlineStr">
        <is>
          <t>https://careers.hilti.group/en/jobs/16066-en/controller-m-f-d-international-finance-career-cfo-track/</t>
        </is>
      </c>
      <c r="N4" s="11" t="inlineStr">
        <is>
          <t>careers.hilti.group + Stepstone #13672273, via search 31.08.2026. Note: 16512-de shows both 'Controller' and 'Senior Controller' titles in listings - check live.</t>
        </is>
      </c>
    </row>
    <row r="5" ht="142.6" customHeight="1">
      <c r="A5" s="9" t="inlineStr">
        <is>
          <t>1</t>
        </is>
      </c>
      <c r="B5" s="14" t="inlineStr">
        <is>
          <t>Outperformer - Global Management Development Program, Finance Track (Germany)</t>
        </is>
      </c>
      <c r="C5" s="15" t="inlineStr">
        <is>
          <t>19572-de</t>
        </is>
      </c>
      <c r="D5" s="15" t="inlineStr">
        <is>
          <t>Hilti Deutschland AG - nationwide (BW, BY, BE, NRW listed); rotations incl. Kaufering hub + abroad</t>
        </is>
      </c>
      <c r="E5" s="15" t="inlineStr">
        <is>
          <t>24-month global graduate program (fixed intake - confirm next intake date)</t>
        </is>
      </c>
      <c r="F5" s="15" t="inlineStr">
        <is>
          <t>Option 1 rotation: 12 months Sales Account Manager in the home organisation (DE/AT/CH/NL), then 3 months finance project at home, 6 months Controlling &amp; Reporting at the Kaufering regional hub, 3 months finance project in another country. A second finance-track option exists. Includes an IMD Lausanne leadership qualification, a global summit at HQ in Schaan (LI) with Executive Board involvement, and a dedicated mentor.</t>
        </is>
      </c>
      <c r="G5" s="15" t="inlineStr">
        <is>
          <t>Recent or soon-completing Master's. 6-30 months of initial professional experience (internships count). At least 6 months of international experience. Fluent English plus at least one other language. Globally mobile; leadership potential.</t>
        </is>
      </c>
      <c r="H5" s="15" t="inlineStr">
        <is>
          <t>Fluent English + one other language required. Posting is in German - the 12-month DACH sales year very likely needs working German; confirm the expected level.</t>
        </is>
      </c>
      <c r="I5" s="15" t="inlineStr">
        <is>
          <t>Roughly 19 months of internships (A&amp;M 7 + TCG 6 + Biome 3 + SCAILE 3) - inside the 6-30 month window. International by construction: India -&gt; Portugal -&gt; Germany, plus a European Commission thesis. Languages: English, Hindi, Bengali fluent; German B1; basic Portuguese. Strong evidence for the account-manager year: owned North American clients and signed &gt;$100k ARR. Leadership: Draycott PE Challenge team lead, global AI hackathon organiser, UN Foundation.</t>
        </is>
      </c>
      <c r="J5" s="15" t="inlineStr">
        <is>
          <t>Selling in a German-speaking market on B1 German is the main risk - ask how other internationals handled it. Intake timing vs 12.2026 graduation. Confirm whether Timur's own 'CFO track' means this program or the Kaufering controller route.</t>
        </is>
      </c>
      <c r="K5" s="12" t="inlineStr">
        <is>
          <t>Draft - verify posting</t>
        </is>
      </c>
      <c r="L5" s="12" t="inlineStr">
        <is>
          <t>Ask Timur which of the two paths he joined and which he'd recommend for Abir's profile; get intake dates and referral mechanics.</t>
        </is>
      </c>
      <c r="M5" s="16" t="inlineStr">
        <is>
          <t>https://careers.hilti.group/en/jobs/19572-de/global-management-development-program-outperformer-finance-track/</t>
        </is>
      </c>
      <c r="N5" s="15" t="inlineStr">
        <is>
          <t>careers.hilti.group via search 31.08.2026 - verify live.</t>
        </is>
      </c>
    </row>
    <row r="6" ht="54.4" customHeight="1">
      <c r="A6" s="9" t="inlineStr">
        <is>
          <t>2</t>
        </is>
      </c>
      <c r="B6" s="10" t="inlineStr">
        <is>
          <t>Finance Controller mit internationaler Entwicklungsperspektive (m/w/d)</t>
        </is>
      </c>
      <c r="C6" s="11" t="inlineStr">
        <is>
          <t>wd-0033857-de; older twin 13232-de</t>
        </is>
      </c>
      <c r="D6" s="11" t="inlineStr">
        <is>
          <t>Hilti Deutschland AG - Kaufering (twin posting adds Oberhausen)</t>
        </is>
      </c>
      <c r="E6" s="11" t="inlineStr">
        <is>
          <t>Direct entry, permanent</t>
        </is>
      </c>
      <c r="F6" s="11" t="inlineStr">
        <is>
          <t>Controlling role in the same Kaufering finance-hub family, positioned with an explicit international development perspective. Full description is on the live (German) posting.</t>
        </is>
      </c>
      <c r="G6" s="11" t="inlineStr">
        <is>
          <t>Expected to mirror the CFO-track controller profile: business/economics degree with finance/controlling focus, early-career experience - verify on the live posting.</t>
        </is>
      </c>
      <c r="H6" s="11" t="inlineStr">
        <is>
          <t>German-language posting - likely expects working German (B2+); confirm.</t>
        </is>
      </c>
      <c r="I6" s="11" t="inlineStr">
        <is>
          <t>Same fit story as the CFO-Track Controller; a natural backup if 16066 is filled or on hold.</t>
        </is>
      </c>
      <c r="J6" s="11" t="inlineStr">
        <is>
          <t>German level. May even be the same headcount as 16066 under a different title - clarify before listing both to Timur.</t>
        </is>
      </c>
      <c r="K6" s="12" t="inlineStr">
        <is>
          <t>Draft - verify posting</t>
        </is>
      </c>
      <c r="L6" s="12" t="inlineStr">
        <is>
          <t>Verify it is distinct from role #1; if yes, keep as backup on the list.</t>
        </is>
      </c>
      <c r="M6" s="13" t="inlineStr">
        <is>
          <t>https://careers.hilti.group/en/jobs/wd-0033857-de/finance-controller-mit-internationaler-entwicklungsperspektive-m-w-d/</t>
        </is>
      </c>
      <c r="N6" s="11" t="inlineStr">
        <is>
          <t>careers.hilti.group via search 31.08.2026 - verify live.</t>
        </is>
      </c>
    </row>
    <row r="7" ht="54.4" customHeight="1">
      <c r="A7" s="9" t="inlineStr">
        <is>
          <t>3</t>
        </is>
      </c>
      <c r="B7" s="14" t="inlineStr">
        <is>
          <t>Outperformer - Global Management Trainee Program, Business Track (m/w/d)</t>
        </is>
      </c>
      <c r="C7" s="15" t="inlineStr">
        <is>
          <t>57529-de; older listing 19157-de</t>
        </is>
      </c>
      <c r="D7" s="15" t="inlineStr">
        <is>
          <t>Hilti Deutschland AG - nationwide</t>
        </is>
      </c>
      <c r="E7" s="15" t="inlineStr">
        <is>
          <t>Global graduate / trainee program</t>
        </is>
      </c>
      <c r="F7" s="15" t="inlineStr">
        <is>
          <t>General-management twin of the finance track: sales-led rotations, international assignment, IMD leadership development - not finance-specialised.</t>
        </is>
      </c>
      <c r="G7" s="15" t="inlineStr">
        <is>
          <t>Master's-level early-career profile; fluent English plus another language; global mobility; leadership potential - verify on the live posting.</t>
        </is>
      </c>
      <c r="H7" s="15" t="inlineStr">
        <is>
          <t>German posting - German for the DACH sales rotations likely required.</t>
        </is>
      </c>
      <c r="I7" s="15" t="inlineStr">
        <is>
          <t>Fallback only: uses Abir's commercial/GTM side (owned NA clients, &gt;$100k ARR) and keeps the Hilti door open, with a later internal move toward finance.</t>
        </is>
      </c>
      <c r="J7" s="15" t="inlineStr">
        <is>
          <t>Not a finance role - weaker match to the CFO ambition. Only if the finance-track options don't work out.</t>
        </is>
      </c>
      <c r="K7" s="12" t="inlineStr">
        <is>
          <t>On hold</t>
        </is>
      </c>
      <c r="L7" s="12" t="inlineStr">
        <is>
          <t>Hold unless the finance options fall through.</t>
        </is>
      </c>
      <c r="M7" s="16" t="inlineStr">
        <is>
          <t>https://careers.hilti.group/en/jobs/57529-de/global-management-trainee-program-outperformer-business-track-m-w-d/</t>
        </is>
      </c>
      <c r="N7" s="15" t="inlineStr">
        <is>
          <t>careers.hilti.group via search 31.08.2026 - verify live.</t>
        </is>
      </c>
    </row>
    <row r="8" ht="22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 ht="22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 ht="22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 ht="22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</sheetData>
  <autoFilter ref="A3:N40"/>
  <mergeCells count="1">
    <mergeCell ref="A1:N1"/>
  </mergeCells>
  <dataValidations count="1">
    <dataValidation sqref="K4:K40" showDropDown="0" showInputMessage="0" showErrorMessage="0" allowBlank="1" type="list">
      <formula1>"Draft - verify posting,Shortlisted,Sent to Timur,Applied,Interview,Offer,Closed - Rejected,On hold"</formula1>
    </dataValidation>
  </dataValidations>
  <hyperlinks>
    <hyperlink xmlns:r="http://schemas.openxmlformats.org/officeDocument/2006/relationships" ref="M4" r:id="rId1"/>
    <hyperlink xmlns:r="http://schemas.openxmlformats.org/officeDocument/2006/relationships" ref="M5" r:id="rId2"/>
    <hyperlink xmlns:r="http://schemas.openxmlformats.org/officeDocument/2006/relationships" ref="M6" r:id="rId3"/>
    <hyperlink xmlns:r="http://schemas.openxmlformats.org/officeDocument/2006/relationships" ref="M7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66" customWidth="1" min="3" max="3"/>
    <col width="30" customWidth="1" min="4" max="4"/>
  </cols>
  <sheetData>
    <row r="1" ht="24" customHeight="1">
      <c r="A1" s="17" t="inlineStr">
        <is>
          <t>Screening criteria -&gt; evidence map (for the Timur message and interview prep)</t>
        </is>
      </c>
    </row>
    <row r="3" ht="20" customHeight="1">
      <c r="A3" s="18" t="inlineStr">
        <is>
          <t>What Hilti screens on</t>
        </is>
      </c>
      <c r="B3" s="18" t="inlineStr">
        <is>
          <t>Applies to</t>
        </is>
      </c>
      <c r="C3" s="18" t="inlineStr">
        <is>
          <t>Abir's evidence</t>
        </is>
      </c>
      <c r="D3" s="18" t="inlineStr">
        <is>
          <t>Where it sits on the CV</t>
        </is>
      </c>
    </row>
    <row r="4" ht="29.2" customHeight="1">
      <c r="A4" s="10" t="inlineStr">
        <is>
          <t>Master's in Finance / business degree with finance-controlling focus</t>
        </is>
      </c>
      <c r="B4" s="11" t="inlineStr">
        <is>
          <t>Both</t>
        </is>
      </c>
      <c r="C4" s="11" t="inlineStr">
        <is>
          <t>MSc Finance, Nova SBE (FT #8), top 10% of class; BMS in Finance &amp; Strategy, magna cum laude, top 10%</t>
        </is>
      </c>
      <c r="D4" s="11" t="inlineStr">
        <is>
          <t>Education</t>
        </is>
      </c>
    </row>
    <row r="5" ht="41.8" customHeight="1">
      <c r="A5" s="14" t="inlineStr">
        <is>
          <t>Experience window: internships and/or up to 3 yrs (Controller); 6-30 months (Outperformer)</t>
        </is>
      </c>
      <c r="B5" s="15" t="inlineStr">
        <is>
          <t>Both</t>
        </is>
      </c>
      <c r="C5" s="15" t="inlineStr">
        <is>
          <t>~19 months across A&amp;M (7), TCG (6), Biome (3), SCAILE (3) - inside both windows</t>
        </is>
      </c>
      <c r="D5" s="15" t="inlineStr">
        <is>
          <t>Work Experience dates</t>
        </is>
      </c>
    </row>
    <row r="6" ht="29.2" customHeight="1">
      <c r="A6" s="10" t="inlineStr">
        <is>
          <t>Corporate finance / audit / consulting background</t>
        </is>
      </c>
      <c r="B6" s="11" t="inlineStr">
        <is>
          <t>Controller</t>
        </is>
      </c>
      <c r="C6" s="11" t="inlineStr">
        <is>
          <t>A&amp;M restructuring: Fortune 500 clients, &gt;$100M debt and leases, U.S. Chapter 11; TCG boutique strategy consulting</t>
        </is>
      </c>
      <c r="D6" s="11" t="inlineStr">
        <is>
          <t>A&amp;M and TCG entries</t>
        </is>
      </c>
    </row>
    <row r="7" ht="41.8" customHeight="1">
      <c r="A7" s="14" t="inlineStr">
        <is>
          <t>FP&amp;A toolkit: closings, rolling forecasts, cost controlling</t>
        </is>
      </c>
      <c r="B7" s="15" t="inlineStr">
        <is>
          <t>Controller</t>
        </is>
      </c>
      <c r="C7" s="15" t="inlineStr">
        <is>
          <t>Scenario models behind a $9.8M risk-mitigation plan; EBITDA sensitivity across liquidity and supplier scenarios; automated weekly KPI reporting (manual effort -60%); KPI dashboards</t>
        </is>
      </c>
      <c r="D7" s="15" t="inlineStr">
        <is>
          <t>A&amp;M + SCAILE bullets; Focus areas row</t>
        </is>
      </c>
    </row>
    <row r="8" ht="41.8" customHeight="1">
      <c r="A8" s="10" t="inlineStr">
        <is>
          <t>Business partnering and stakeholder management</t>
        </is>
      </c>
      <c r="B8" s="11" t="inlineStr">
        <is>
          <t>Both</t>
        </is>
      </c>
      <c r="C8" s="11" t="inlineStr">
        <is>
          <t>Informed board-level decisions; prepared creditor-negotiation presentations for client leadership; led 90+ stakeholder interviews; first point of contact for North American clients</t>
        </is>
      </c>
      <c r="D8" s="11" t="inlineStr">
        <is>
          <t>A&amp;M, TCG, SCAILE bullets</t>
        </is>
      </c>
    </row>
    <row r="9" ht="29.2" customHeight="1">
      <c r="A9" s="14" t="inlineStr">
        <is>
          <t>At least 6 months of international experience</t>
        </is>
      </c>
      <c r="B9" s="15" t="inlineStr">
        <is>
          <t>Outperformer</t>
        </is>
      </c>
      <c r="C9" s="15" t="inlineStr">
        <is>
          <t>India (work) -&gt; Portugal (MSc) -&gt; Germany (work); Master's thesis with the European Commission across EU member states</t>
        </is>
      </c>
      <c r="D9" s="15" t="inlineStr">
        <is>
          <t>Whole page</t>
        </is>
      </c>
    </row>
    <row r="10" ht="29.2" customHeight="1">
      <c r="A10" s="10" t="inlineStr">
        <is>
          <t>Global mobility</t>
        </is>
      </c>
      <c r="B10" s="11" t="inlineStr">
        <is>
          <t>Both</t>
        </is>
      </c>
      <c r="C10" s="11" t="inlineStr">
        <is>
          <t>'Internationally mobile' stated in the header; has already moved countries twice for study and work</t>
        </is>
      </c>
      <c r="D10" s="11" t="inlineStr">
        <is>
          <t>Header line</t>
        </is>
      </c>
    </row>
    <row r="11" ht="29.2" customHeight="1">
      <c r="A11" s="14" t="inlineStr">
        <is>
          <t>Fluent English + at least one other language</t>
        </is>
      </c>
      <c r="B11" s="15" t="inlineStr">
        <is>
          <t>Outperformer</t>
        </is>
      </c>
      <c r="C11" s="15" t="inlineStr">
        <is>
          <t>English, Hindi, Bengali fluent; German B1 and improving; basic Portuguese</t>
        </is>
      </c>
      <c r="D11" s="15" t="inlineStr">
        <is>
          <t>Languages row</t>
        </is>
      </c>
    </row>
    <row r="12" ht="29.2" customHeight="1">
      <c r="A12" s="10" t="inlineStr">
        <is>
          <t>Customer-facing capability (12-month Account Manager rotation)</t>
        </is>
      </c>
      <c r="B12" s="11" t="inlineStr">
        <is>
          <t>Outperformer</t>
        </is>
      </c>
      <c r="C12" s="11" t="inlineStr">
        <is>
          <t>Owned North American clients as first point of contact; signed and onboarded &gt;$100k ARR</t>
        </is>
      </c>
      <c r="D12" s="11" t="inlineStr">
        <is>
          <t>SCAILE bullets</t>
        </is>
      </c>
    </row>
    <row r="13" ht="41.8" customHeight="1">
      <c r="A13" s="14" t="inlineStr">
        <is>
          <t>Leadership potential</t>
        </is>
      </c>
      <c r="B13" s="15" t="inlineStr">
        <is>
          <t>Both</t>
        </is>
      </c>
      <c r="C13" s="15" t="inlineStr">
        <is>
          <t>Team Lead, Draycott Private Equity Challenge; organiser of a 24-hour global AI hackathon (MIT Sloan AI Club x TUM); UN Foundation campaigns for 1,200+ women and children</t>
        </is>
      </c>
      <c r="D13" s="15" t="inlineStr">
        <is>
          <t>Education + Extracurricular</t>
        </is>
      </c>
    </row>
    <row r="14" ht="29.2" customHeight="1">
      <c r="A14" s="10" t="inlineStr">
        <is>
          <t>Digital / analytics edge</t>
        </is>
      </c>
      <c r="B14" s="11" t="inlineStr">
        <is>
          <t>Both</t>
        </is>
      </c>
      <c r="C14" s="11" t="inlineStr">
        <is>
          <t>Power BI, SQL, Python; AI agent workflows that cut reporting effort 60%; GenAI visibility dashboards</t>
        </is>
      </c>
      <c r="D14" s="11" t="inlineStr">
        <is>
          <t>Technical row + SCAILE bullets</t>
        </is>
      </c>
    </row>
    <row r="15" ht="41.8" customHeight="1">
      <c r="A15" s="14" t="inlineStr">
        <is>
          <t>Gaps to manage proactively</t>
        </is>
      </c>
      <c r="B15" s="15" t="inlineStr">
        <is>
          <t>-</t>
        </is>
      </c>
      <c r="C15" s="15" t="inlineStr">
        <is>
          <t>German B1 (name the trajectory: B2 course, timeline); 08.2024-07.2025 gap between degrees (have the answer ready); SAP not evidenced; availability from 01.2027 to confirm</t>
        </is>
      </c>
      <c r="D15" s="15" t="inlineStr">
        <is>
          <t>-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2026-08-31T15:54:02Z</dcterms:created>
  <dcterms:modified xmlns:dcterms="http://purl.org/dc/terms/" xmlns:xsi="http://www.w3.org/2001/XMLSchema-instance" xsi:type="dcterms:W3CDTF">2026-08-31T15:54:02Z</dcterms:modified>
</cp:coreProperties>
</file>